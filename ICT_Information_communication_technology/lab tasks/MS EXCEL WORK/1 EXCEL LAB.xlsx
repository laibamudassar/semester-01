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st_Semester\ICT_Information_communication_technology\MS EXCEL WORK\"/>
    </mc:Choice>
  </mc:AlternateContent>
  <xr:revisionPtr revIDLastSave="0" documentId="13_ncr:1_{70530F42-B7CE-4381-9AFE-20EC513B5BCF}" xr6:coauthVersionLast="47" xr6:coauthVersionMax="47" xr10:uidLastSave="{00000000-0000-0000-0000-000000000000}"/>
  <bookViews>
    <workbookView xWindow="-110" yWindow="-110" windowWidth="19420" windowHeight="10300" activeTab="2" xr2:uid="{5F3F3684-5DD6-4BC2-B031-4FDC8A3999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 s="1"/>
  <c r="B7" i="4"/>
  <c r="G3" i="2"/>
  <c r="G6" i="2"/>
  <c r="G8" i="2"/>
  <c r="F3" i="2"/>
  <c r="F6" i="2"/>
  <c r="F8" i="2"/>
  <c r="F4" i="2"/>
  <c r="G4" i="2" s="1"/>
  <c r="F5" i="2"/>
  <c r="G5" i="2" s="1"/>
  <c r="F7" i="2"/>
  <c r="G7" i="2" s="1"/>
  <c r="F9" i="2"/>
  <c r="G9" i="2" s="1"/>
  <c r="F2" i="1"/>
  <c r="F6" i="1" s="1"/>
  <c r="F3" i="1"/>
  <c r="F4" i="1"/>
  <c r="F5" i="1"/>
  <c r="E2" i="1"/>
  <c r="E3" i="1"/>
  <c r="E4" i="1"/>
  <c r="E5" i="1"/>
  <c r="B8" i="4" l="1"/>
  <c r="B9" i="4" s="1"/>
  <c r="F7" i="1"/>
  <c r="F8" i="1" s="1"/>
</calcChain>
</file>

<file path=xl/sharedStrings.xml><?xml version="1.0" encoding="utf-8"?>
<sst xmlns="http://schemas.openxmlformats.org/spreadsheetml/2006/main" count="47" uniqueCount="45">
  <si>
    <t>Item</t>
  </si>
  <si>
    <t>Quantity</t>
  </si>
  <si>
    <t>List Price</t>
  </si>
  <si>
    <t>Discount</t>
  </si>
  <si>
    <t>Your Price</t>
  </si>
  <si>
    <t>apple</t>
  </si>
  <si>
    <t>banana</t>
  </si>
  <si>
    <t>orange</t>
  </si>
  <si>
    <t>mango</t>
  </si>
  <si>
    <t xml:space="preserve">Total     </t>
  </si>
  <si>
    <t>Name</t>
  </si>
  <si>
    <t>EXAM 1</t>
  </si>
  <si>
    <t>EXAM 2</t>
  </si>
  <si>
    <t>EXAM 3</t>
  </si>
  <si>
    <t>FINAL</t>
  </si>
  <si>
    <t>AVERAGE</t>
  </si>
  <si>
    <t>Zainab Bibi</t>
  </si>
  <si>
    <t>Bilal Sheikh</t>
  </si>
  <si>
    <t>Maryam Noor</t>
  </si>
  <si>
    <t>Usman Raja</t>
  </si>
  <si>
    <t>Fatima Zahra</t>
  </si>
  <si>
    <t>Hamza Malik</t>
  </si>
  <si>
    <t>Ayesha Siddiqa</t>
  </si>
  <si>
    <t>Omer Farooq</t>
  </si>
  <si>
    <t>LETTER GRADE</t>
  </si>
  <si>
    <t>LEVEL</t>
  </si>
  <si>
    <t>STUDENTS</t>
  </si>
  <si>
    <t>Freshmen</t>
  </si>
  <si>
    <t>Junior</t>
  </si>
  <si>
    <t>Sophomore</t>
  </si>
  <si>
    <t>Senior</t>
  </si>
  <si>
    <t>No response</t>
  </si>
  <si>
    <t>GENDER</t>
  </si>
  <si>
    <t>MEN</t>
  </si>
  <si>
    <t>WOMEN</t>
  </si>
  <si>
    <t>STATUS</t>
  </si>
  <si>
    <t>Completed</t>
  </si>
  <si>
    <t>Not Completed</t>
  </si>
  <si>
    <t>CATEGORY</t>
  </si>
  <si>
    <t>COST</t>
  </si>
  <si>
    <t xml:space="preserve">Transport </t>
  </si>
  <si>
    <t>Accommodation</t>
  </si>
  <si>
    <t xml:space="preserve">Food </t>
  </si>
  <si>
    <t>Sightseeing</t>
  </si>
  <si>
    <t>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</si>
</sst>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s&quot;#,##0.00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rial Black"/>
      <family val="2"/>
    </font>
    <font>
      <sz val="8"/>
      <name val="Aptos Narrow"/>
      <family val="2"/>
      <scheme val="minor"/>
    </font>
    <font>
      <b/>
      <sz val="15"/>
      <color theme="3"/>
      <name val="Arial Black"/>
      <family val="2"/>
    </font>
    <font>
      <sz val="11"/>
      <color theme="1"/>
      <name val="Arial Black"/>
      <family val="2"/>
    </font>
    <font>
      <sz val="18"/>
      <color theme="1"/>
      <name val="Arial Black"/>
      <family val="2"/>
    </font>
    <font>
      <sz val="16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3" applyNumberFormat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9" fontId="3" fillId="2" borderId="3" xfId="3" applyNumberFormat="1" applyAlignment="1">
      <alignment horizontal="right"/>
    </xf>
    <xf numFmtId="49" fontId="3" fillId="2" borderId="3" xfId="3" applyNumberForma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164" fontId="0" fillId="0" borderId="4" xfId="0" applyNumberFormat="1" applyBorder="1"/>
    <xf numFmtId="4" fontId="3" fillId="2" borderId="3" xfId="3" applyNumberFormat="1" applyAlignment="1">
      <alignment horizontal="right"/>
    </xf>
    <xf numFmtId="4" fontId="5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0" fillId="3" borderId="0" xfId="0" applyFill="1"/>
    <xf numFmtId="0" fontId="1" fillId="0" borderId="1" xfId="1"/>
    <xf numFmtId="0" fontId="8" fillId="0" borderId="1" xfId="1" applyFont="1"/>
    <xf numFmtId="0" fontId="0" fillId="0" borderId="0" xfId="0" applyAlignment="1">
      <alignment horizontal="center" vertical="top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2" fillId="0" borderId="2" xfId="2" applyAlignment="1">
      <alignment horizontal="center"/>
    </xf>
  </cellXfs>
  <cellStyles count="4">
    <cellStyle name="Check Cell" xfId="3" builtinId="23"/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8"/>
                <c:pt idx="0">
                  <c:v>Ayesha Siddiqa</c:v>
                </c:pt>
                <c:pt idx="1">
                  <c:v>Bilal Sheikh</c:v>
                </c:pt>
                <c:pt idx="2">
                  <c:v>Fatima Zahra</c:v>
                </c:pt>
                <c:pt idx="3">
                  <c:v>Hamza Malik</c:v>
                </c:pt>
                <c:pt idx="4">
                  <c:v>Maryam Noor</c:v>
                </c:pt>
                <c:pt idx="5">
                  <c:v>Omer Farooq</c:v>
                </c:pt>
                <c:pt idx="6">
                  <c:v>Usman Raja</c:v>
                </c:pt>
                <c:pt idx="7">
                  <c:v>Zainab Bibi</c:v>
                </c:pt>
              </c:strCache>
            </c:strRef>
          </c:cat>
          <c:val>
            <c:numRef>
              <c:f>Sheet2!$E$2:$E$9</c:f>
              <c:numCache>
                <c:formatCode>General</c:formatCode>
                <c:ptCount val="8"/>
                <c:pt idx="0">
                  <c:v>76</c:v>
                </c:pt>
                <c:pt idx="1">
                  <c:v>67</c:v>
                </c:pt>
                <c:pt idx="2">
                  <c:v>76</c:v>
                </c:pt>
                <c:pt idx="3">
                  <c:v>98</c:v>
                </c:pt>
                <c:pt idx="4">
                  <c:v>85</c:v>
                </c:pt>
                <c:pt idx="5">
                  <c:v>56</c:v>
                </c:pt>
                <c:pt idx="6">
                  <c:v>65</c:v>
                </c:pt>
                <c:pt idx="7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6-44EF-9CF9-EA0B6233B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835904"/>
        <c:axId val="1291836864"/>
      </c:barChart>
      <c:catAx>
        <c:axId val="129183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1836864"/>
        <c:crosses val="autoZero"/>
        <c:auto val="1"/>
        <c:lblAlgn val="ctr"/>
        <c:lblOffset val="100"/>
        <c:noMultiLvlLbl val="0"/>
      </c:catAx>
      <c:valAx>
        <c:axId val="129183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183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18-4B62-9960-5DEE768228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18-4B62-9960-5DEE768228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18-4B62-9960-5DEE768228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18-4B62-9960-5DEE768228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318-4B62-9960-5DEE768228FC}"/>
              </c:ext>
            </c:extLst>
          </c:dPt>
          <c:cat>
            <c:strRef>
              <c:f>Sheet3!$A$2:$A$6</c:f>
              <c:strCache>
                <c:ptCount val="5"/>
                <c:pt idx="0">
                  <c:v>Freshmen</c:v>
                </c:pt>
                <c:pt idx="1">
                  <c:v>Sophomore</c:v>
                </c:pt>
                <c:pt idx="2">
                  <c:v>Junior</c:v>
                </c:pt>
                <c:pt idx="3">
                  <c:v>Senior</c:v>
                </c:pt>
                <c:pt idx="4">
                  <c:v>No response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F-49FE-A104-EAEA5DC87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Sheet3!$B$23</c:f>
              <c:strCache>
                <c:ptCount val="1"/>
                <c:pt idx="0">
                  <c:v>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73-4C75-AEEF-ED81738171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73-4C75-AEEF-ED81738171B6}"/>
              </c:ext>
            </c:extLst>
          </c:dPt>
          <c:cat>
            <c:strRef>
              <c:f>Sheet3!$A$24:$A$25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Sheet3!$B$24:$B$25</c:f>
              <c:numCache>
                <c:formatCode>General</c:formatCode>
                <c:ptCount val="2"/>
                <c:pt idx="0">
                  <c:v>11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0-4C06-B6A2-562966D79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689457567804021"/>
          <c:y val="0.89285639295088104"/>
          <c:w val="0.22287729658792652"/>
          <c:h val="0.107143607049118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Sheet3!$B$40</c:f>
              <c:strCache>
                <c:ptCount val="1"/>
                <c:pt idx="0">
                  <c:v>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2A-4FCE-9A49-677130D260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2A-4FCE-9A49-677130D26005}"/>
              </c:ext>
            </c:extLst>
          </c:dPt>
          <c:cat>
            <c:strRef>
              <c:f>Sheet3!$A$41:$A$42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Sheet3!$B$41:$B$42</c:f>
              <c:numCache>
                <c:formatCode>General</c:formatCode>
                <c:ptCount val="2"/>
                <c:pt idx="0">
                  <c:v>23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B-4519-8689-7FCF91372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511175</xdr:colOff>
      <xdr:row>10</xdr:row>
      <xdr:rowOff>107950</xdr:rowOff>
    </xdr:from>
    <xdr:to>
      <xdr:col>5</xdr:col>
      <xdr:colOff>152400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1C62BB-ECAE-E346-6216-83A36A12F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850899</xdr:colOff>
      <xdr:row>6</xdr:row>
      <xdr:rowOff>95250</xdr:rowOff>
    </xdr:from>
    <xdr:to>
      <xdr:col>8</xdr:col>
      <xdr:colOff>330200</xdr:colOff>
      <xdr:row>20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8F8F3-FAB2-12DB-22FA-EEF027DFF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552450</xdr:colOff>
      <xdr:row>24</xdr:row>
      <xdr:rowOff>25400</xdr:rowOff>
    </xdr:from>
    <xdr:to>
      <xdr:col>10</xdr:col>
      <xdr:colOff>396875</xdr:colOff>
      <xdr:row>36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D8FF23-5735-8E83-1574-480A8B571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1219201</xdr:colOff>
      <xdr:row>42</xdr:row>
      <xdr:rowOff>114300</xdr:rowOff>
    </xdr:from>
    <xdr:to>
      <xdr:col>7</xdr:col>
      <xdr:colOff>63500</xdr:colOff>
      <xdr:row>54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A96AEE-85A4-47B2-39D4-AB1509115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9247-86DD-4CFA-A5B5-3E037D5204BC}">
  <dimension ref="A1:J12"/>
  <sheetViews>
    <sheetView zoomScale="110" zoomScaleNormal="52" workbookViewId="0">
      <selection activeCell="I11" sqref="I11"/>
    </sheetView>
  </sheetViews>
  <sheetFormatPr defaultRowHeight="14.5" x14ac:dyDescent="0.35"/>
  <cols>
    <col min="3" max="5" width="8.81640625" bestFit="1" customWidth="1"/>
    <col min="6" max="6" width="13.26953125" bestFit="1" customWidth="1"/>
  </cols>
  <sheetData>
    <row r="1" spans="1:10" s="5" customFormat="1" ht="22" customHeight="1" thickTop="1" thickBot="1" x14ac:dyDescent="0.4">
      <c r="A1" s="4" t="s">
        <v>0</v>
      </c>
      <c r="B1" s="4" t="s">
        <v>1</v>
      </c>
      <c r="C1" s="10" t="s">
        <v>2</v>
      </c>
      <c r="D1" s="10" t="s">
        <v>3</v>
      </c>
      <c r="E1" s="10" t="s">
        <v>4</v>
      </c>
      <c r="F1" s="10" t="s">
        <v>9</v>
      </c>
    </row>
    <row r="2" spans="1:10" ht="20" customHeight="1" thickTop="1" x14ac:dyDescent="0.45">
      <c r="A2" s="6" t="s">
        <v>5</v>
      </c>
      <c r="B2" s="7">
        <v>3</v>
      </c>
      <c r="C2" s="11">
        <v>60</v>
      </c>
      <c r="D2" s="11">
        <v>5</v>
      </c>
      <c r="E2" s="11">
        <f>C2-D2</f>
        <v>55</v>
      </c>
      <c r="F2" s="11">
        <f>B2*E2</f>
        <v>165</v>
      </c>
    </row>
    <row r="3" spans="1:10" ht="18.5" x14ac:dyDescent="0.45">
      <c r="A3" s="6" t="s">
        <v>6</v>
      </c>
      <c r="B3" s="7">
        <v>4</v>
      </c>
      <c r="C3" s="11">
        <v>70</v>
      </c>
      <c r="D3" s="11">
        <v>10</v>
      </c>
      <c r="E3" s="11">
        <f t="shared" ref="E3:E5" si="0">C3-D3</f>
        <v>60</v>
      </c>
      <c r="F3" s="11">
        <f t="shared" ref="F3:F5" si="1">B3*E3</f>
        <v>240</v>
      </c>
    </row>
    <row r="4" spans="1:10" ht="18.5" x14ac:dyDescent="0.45">
      <c r="A4" s="6" t="s">
        <v>7</v>
      </c>
      <c r="B4" s="7">
        <v>5</v>
      </c>
      <c r="C4" s="11">
        <v>80</v>
      </c>
      <c r="D4" s="11">
        <v>15</v>
      </c>
      <c r="E4" s="11">
        <f t="shared" si="0"/>
        <v>65</v>
      </c>
      <c r="F4" s="11">
        <f t="shared" si="1"/>
        <v>325</v>
      </c>
    </row>
    <row r="5" spans="1:10" ht="18.5" x14ac:dyDescent="0.45">
      <c r="A5" s="6" t="s">
        <v>8</v>
      </c>
      <c r="B5" s="7">
        <v>6</v>
      </c>
      <c r="C5" s="11">
        <v>90</v>
      </c>
      <c r="D5" s="11">
        <v>20</v>
      </c>
      <c r="E5" s="11">
        <f t="shared" si="0"/>
        <v>70</v>
      </c>
      <c r="F5" s="11">
        <f t="shared" si="1"/>
        <v>420</v>
      </c>
      <c r="G5" s="9"/>
    </row>
    <row r="6" spans="1:10" ht="22" x14ac:dyDescent="0.65">
      <c r="A6" s="3"/>
      <c r="B6" s="7"/>
      <c r="C6" s="11"/>
      <c r="D6" s="11"/>
      <c r="E6" s="11"/>
      <c r="F6" s="12">
        <f>SUM(F2:F5)</f>
        <v>1150</v>
      </c>
    </row>
    <row r="7" spans="1:10" ht="22" x14ac:dyDescent="0.65">
      <c r="A7" s="3"/>
      <c r="B7" s="7"/>
      <c r="C7" s="11"/>
      <c r="D7" s="11"/>
      <c r="E7" s="11"/>
      <c r="F7" s="12">
        <f>F6*17%</f>
        <v>195.5</v>
      </c>
    </row>
    <row r="8" spans="1:10" ht="22" x14ac:dyDescent="0.65">
      <c r="A8" s="3"/>
      <c r="B8" s="7"/>
      <c r="C8" s="11"/>
      <c r="D8" s="11"/>
      <c r="E8" s="11"/>
      <c r="F8" s="12">
        <f>F6+F7</f>
        <v>1345.5</v>
      </c>
    </row>
    <row r="9" spans="1:10" ht="18.5" x14ac:dyDescent="0.45">
      <c r="A9" s="3"/>
      <c r="B9" s="7"/>
      <c r="C9" s="11"/>
      <c r="D9" s="11"/>
    </row>
    <row r="10" spans="1:10" ht="18.5" x14ac:dyDescent="0.45">
      <c r="B10" s="8"/>
      <c r="C10" s="8"/>
      <c r="D10" s="8"/>
      <c r="F10" s="11"/>
      <c r="G10" s="11"/>
    </row>
    <row r="11" spans="1:10" ht="23.5" thickBot="1" x14ac:dyDescent="0.7">
      <c r="F11" s="8"/>
      <c r="G11" s="15"/>
      <c r="H11" s="15"/>
      <c r="I11" s="14"/>
      <c r="J11" s="14"/>
    </row>
    <row r="12" spans="1:10" ht="15" thickTop="1" x14ac:dyDescent="0.35">
      <c r="I12" s="13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7867-15CC-4A41-9A70-B959712C3344}">
  <dimension ref="A1:G10"/>
  <sheetViews>
    <sheetView zoomScale="85" workbookViewId="0">
      <selection activeCell="H14" sqref="H14"/>
    </sheetView>
  </sheetViews>
  <sheetFormatPr defaultRowHeight="14.5" x14ac:dyDescent="0.35"/>
  <cols>
    <col min="1" max="8" width="20.6328125" customWidth="1"/>
  </cols>
  <sheetData>
    <row r="1" spans="1:7" ht="26" customHeight="1" x14ac:dyDescent="0.5">
      <c r="A1" s="17" t="s">
        <v>10</v>
      </c>
      <c r="B1" s="17" t="s">
        <v>11</v>
      </c>
      <c r="C1" s="17" t="s">
        <v>12</v>
      </c>
      <c r="D1" s="17" t="s">
        <v>13</v>
      </c>
      <c r="E1" s="17" t="s">
        <v>14</v>
      </c>
      <c r="F1" s="17" t="s">
        <v>15</v>
      </c>
      <c r="G1" s="17" t="s">
        <v>24</v>
      </c>
    </row>
    <row r="2" spans="1:7" x14ac:dyDescent="0.35">
      <c r="A2" s="16" t="s">
        <v>22</v>
      </c>
      <c r="B2" s="2">
        <v>82</v>
      </c>
      <c r="C2" s="2">
        <v>79</v>
      </c>
      <c r="D2" s="2">
        <v>84</v>
      </c>
      <c r="E2" s="2">
        <v>76</v>
      </c>
      <c r="F2" s="2">
        <f>AVERAGE(B2:E2)</f>
        <v>80.25</v>
      </c>
      <c r="G2" s="2" t="str">
        <f>IF(F2&gt;=90,"A",IF(F2&gt;=80,"B",IF(F2&gt;=70,"C",IF(F2&gt;=60,"D","F"))))</f>
        <v>B</v>
      </c>
    </row>
    <row r="3" spans="1:7" x14ac:dyDescent="0.35">
      <c r="A3" s="16" t="s">
        <v>17</v>
      </c>
      <c r="B3" s="2">
        <v>65</v>
      </c>
      <c r="C3" s="2">
        <v>70</v>
      </c>
      <c r="D3" s="2">
        <v>68</v>
      </c>
      <c r="E3" s="2">
        <v>67</v>
      </c>
      <c r="F3" s="2">
        <f t="shared" ref="F2:F9" si="0">AVERAGE(B3:E3)</f>
        <v>67.5</v>
      </c>
      <c r="G3" s="2" t="str">
        <f t="shared" ref="G2:G9" si="1">IF(F3&gt;=90,"A",IF(F3&gt;=80,"B",IF(F3&gt;=70,"C",IF(F3&gt;=60,"D","F"))))</f>
        <v>D</v>
      </c>
    </row>
    <row r="4" spans="1:7" x14ac:dyDescent="0.35">
      <c r="A4" s="16" t="s">
        <v>20</v>
      </c>
      <c r="B4" s="2">
        <v>94</v>
      </c>
      <c r="C4" s="2">
        <v>91</v>
      </c>
      <c r="D4" s="2">
        <v>96</v>
      </c>
      <c r="E4" s="2">
        <v>76</v>
      </c>
      <c r="F4" s="2">
        <f t="shared" si="0"/>
        <v>89.25</v>
      </c>
      <c r="G4" s="2" t="str">
        <f t="shared" si="1"/>
        <v>B</v>
      </c>
    </row>
    <row r="5" spans="1:7" x14ac:dyDescent="0.35">
      <c r="A5" s="16" t="s">
        <v>21</v>
      </c>
      <c r="B5" s="2">
        <v>77</v>
      </c>
      <c r="C5" s="2">
        <v>75</v>
      </c>
      <c r="D5" s="2">
        <v>80</v>
      </c>
      <c r="E5" s="2">
        <v>98</v>
      </c>
      <c r="F5" s="2">
        <f t="shared" si="0"/>
        <v>82.5</v>
      </c>
      <c r="G5" s="2" t="str">
        <f t="shared" si="1"/>
        <v>B</v>
      </c>
    </row>
    <row r="6" spans="1:7" x14ac:dyDescent="0.35">
      <c r="A6" s="16" t="s">
        <v>18</v>
      </c>
      <c r="B6" s="2">
        <v>88</v>
      </c>
      <c r="C6" s="2">
        <v>82</v>
      </c>
      <c r="D6" s="2">
        <v>85</v>
      </c>
      <c r="E6" s="2">
        <v>85</v>
      </c>
      <c r="F6" s="2">
        <f t="shared" si="0"/>
        <v>85</v>
      </c>
      <c r="G6" s="2" t="str">
        <f t="shared" si="1"/>
        <v>B</v>
      </c>
    </row>
    <row r="7" spans="1:7" x14ac:dyDescent="0.35">
      <c r="A7" s="16" t="s">
        <v>23</v>
      </c>
      <c r="B7" s="2">
        <v>60</v>
      </c>
      <c r="C7" s="2">
        <v>65</v>
      </c>
      <c r="D7" s="2">
        <v>63</v>
      </c>
      <c r="E7" s="2">
        <v>56</v>
      </c>
      <c r="F7" s="2">
        <f t="shared" si="0"/>
        <v>61</v>
      </c>
      <c r="G7" s="2" t="str">
        <f t="shared" si="1"/>
        <v>D</v>
      </c>
    </row>
    <row r="8" spans="1:7" x14ac:dyDescent="0.35">
      <c r="A8" s="16" t="s">
        <v>19</v>
      </c>
      <c r="B8" s="2">
        <v>55</v>
      </c>
      <c r="C8" s="2">
        <v>62</v>
      </c>
      <c r="D8" s="2">
        <v>58</v>
      </c>
      <c r="E8" s="2">
        <v>65</v>
      </c>
      <c r="F8" s="2">
        <f t="shared" si="0"/>
        <v>60</v>
      </c>
      <c r="G8" s="2" t="str">
        <f t="shared" si="1"/>
        <v>D</v>
      </c>
    </row>
    <row r="9" spans="1:7" x14ac:dyDescent="0.35">
      <c r="A9" s="16" t="s">
        <v>16</v>
      </c>
      <c r="B9" s="2">
        <v>90</v>
      </c>
      <c r="C9" s="2">
        <v>95</v>
      </c>
      <c r="D9" s="2">
        <v>88</v>
      </c>
      <c r="E9" s="2">
        <v>77</v>
      </c>
      <c r="F9" s="2">
        <f t="shared" si="0"/>
        <v>87.5</v>
      </c>
      <c r="G9" s="2" t="str">
        <f t="shared" si="1"/>
        <v>B</v>
      </c>
    </row>
    <row r="10" spans="1:7" x14ac:dyDescent="0.35">
      <c r="A10" s="2"/>
      <c r="B10" s="2"/>
      <c r="C10" s="2"/>
      <c r="D10" s="2"/>
      <c r="E10" s="2"/>
      <c r="F10" s="2"/>
      <c r="G10" s="2"/>
    </row>
  </sheetData>
  <sortState xmlns:xlrd2="http://schemas.microsoft.com/office/spreadsheetml/2017/richdata2" ref="A2:G9">
    <sortCondition ref="A1:A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804B-36D4-4495-BFB0-F9324FECEF4B}">
  <dimension ref="A1:B42"/>
  <sheetViews>
    <sheetView tabSelected="1" zoomScale="72" workbookViewId="0">
      <selection activeCell="E42" sqref="E42"/>
    </sheetView>
  </sheetViews>
  <sheetFormatPr defaultRowHeight="14.5" x14ac:dyDescent="0.35"/>
  <cols>
    <col min="1" max="2" width="20.6328125" customWidth="1"/>
  </cols>
  <sheetData>
    <row r="1" spans="1:2" ht="15" customHeight="1" x14ac:dyDescent="0.5">
      <c r="A1" s="17" t="s">
        <v>25</v>
      </c>
      <c r="B1" s="17" t="s">
        <v>26</v>
      </c>
    </row>
    <row r="2" spans="1:2" x14ac:dyDescent="0.35">
      <c r="A2" s="1" t="s">
        <v>27</v>
      </c>
      <c r="B2" s="1">
        <v>10</v>
      </c>
    </row>
    <row r="3" spans="1:2" x14ac:dyDescent="0.35">
      <c r="A3" s="1" t="s">
        <v>29</v>
      </c>
      <c r="B3" s="1">
        <v>8</v>
      </c>
    </row>
    <row r="4" spans="1:2" x14ac:dyDescent="0.35">
      <c r="A4" s="1" t="s">
        <v>28</v>
      </c>
      <c r="B4" s="1">
        <v>4</v>
      </c>
    </row>
    <row r="5" spans="1:2" x14ac:dyDescent="0.35">
      <c r="A5" s="1" t="s">
        <v>30</v>
      </c>
      <c r="B5" s="1">
        <v>1</v>
      </c>
    </row>
    <row r="6" spans="1:2" x14ac:dyDescent="0.35">
      <c r="A6" s="1" t="s">
        <v>31</v>
      </c>
      <c r="B6" s="1">
        <v>5</v>
      </c>
    </row>
    <row r="7" spans="1:2" x14ac:dyDescent="0.35">
      <c r="A7" s="1"/>
      <c r="B7" s="1"/>
    </row>
    <row r="23" spans="1:2" ht="28" x14ac:dyDescent="0.8">
      <c r="A23" s="18" t="s">
        <v>32</v>
      </c>
      <c r="B23" s="18" t="s">
        <v>26</v>
      </c>
    </row>
    <row r="24" spans="1:2" x14ac:dyDescent="0.35">
      <c r="A24" s="2" t="s">
        <v>33</v>
      </c>
      <c r="B24" s="2">
        <v>11</v>
      </c>
    </row>
    <row r="25" spans="1:2" x14ac:dyDescent="0.35">
      <c r="A25" s="2" t="s">
        <v>34</v>
      </c>
      <c r="B25" s="2">
        <v>17</v>
      </c>
    </row>
    <row r="39" spans="1:2" ht="15" customHeight="1" x14ac:dyDescent="0.35"/>
    <row r="40" spans="1:2" s="19" customFormat="1" ht="24.5" x14ac:dyDescent="0.7">
      <c r="A40" s="20" t="s">
        <v>35</v>
      </c>
      <c r="B40" s="20" t="s">
        <v>26</v>
      </c>
    </row>
    <row r="41" spans="1:2" x14ac:dyDescent="0.35">
      <c r="A41" s="2" t="s">
        <v>36</v>
      </c>
      <c r="B41" s="2">
        <v>23</v>
      </c>
    </row>
    <row r="42" spans="1:2" x14ac:dyDescent="0.35">
      <c r="A42" s="2" t="s">
        <v>37</v>
      </c>
      <c r="B42" s="2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5CFB-DA90-4562-8902-E193710921C9}">
  <dimension ref="A1:B10"/>
  <sheetViews>
    <sheetView zoomScale="67" workbookViewId="0">
      <selection activeCell="G6" sqref="G6"/>
    </sheetView>
  </sheetViews>
  <sheetFormatPr defaultRowHeight="14.5" x14ac:dyDescent="0.35"/>
  <cols>
    <col min="1" max="2" width="20.6328125" customWidth="1"/>
  </cols>
  <sheetData>
    <row r="1" spans="1:2" ht="17.5" thickBot="1" x14ac:dyDescent="0.45">
      <c r="A1" s="21" t="s">
        <v>38</v>
      </c>
      <c r="B1" s="21" t="s">
        <v>39</v>
      </c>
    </row>
    <row r="2" spans="1:2" ht="18" thickTop="1" thickBot="1" x14ac:dyDescent="0.45">
      <c r="A2" s="21" t="s">
        <v>40</v>
      </c>
      <c r="B2" s="21">
        <v>500</v>
      </c>
    </row>
    <row r="3" spans="1:2" ht="18" thickTop="1" thickBot="1" x14ac:dyDescent="0.45">
      <c r="A3" s="21" t="s">
        <v>41</v>
      </c>
      <c r="B3" s="21">
        <v>800</v>
      </c>
    </row>
    <row r="4" spans="1:2" ht="18" thickTop="1" thickBot="1" x14ac:dyDescent="0.45">
      <c r="A4" s="21" t="s">
        <v>42</v>
      </c>
      <c r="B4" s="21">
        <v>300</v>
      </c>
    </row>
    <row r="5" spans="1:2" ht="18" thickTop="1" thickBot="1" x14ac:dyDescent="0.45">
      <c r="A5" s="21" t="s">
        <v>43</v>
      </c>
      <c r="B5" s="21">
        <v>200</v>
      </c>
    </row>
    <row r="6" spans="1:2" ht="18" thickTop="1" thickBot="1" x14ac:dyDescent="0.45">
      <c r="A6" s="21" t="s">
        <v>44</v>
      </c>
      <c r="B6" s="21">
        <v>250</v>
      </c>
    </row>
    <row r="7" spans="1:2" ht="18" thickTop="1" thickBot="1" x14ac:dyDescent="0.45">
      <c r="A7" s="21"/>
      <c r="B7" s="21">
        <f>SUM(B2:B6)</f>
        <v>2050</v>
      </c>
    </row>
    <row r="8" spans="1:2" ht="18" thickTop="1" thickBot="1" x14ac:dyDescent="0.45">
      <c r="A8" s="21"/>
      <c r="B8" s="21">
        <f>B7*10%</f>
        <v>205</v>
      </c>
    </row>
    <row r="9" spans="1:2" ht="18" thickTop="1" thickBot="1" x14ac:dyDescent="0.45">
      <c r="A9" s="21"/>
      <c r="B9" s="21">
        <f>B7+B8</f>
        <v>2255</v>
      </c>
    </row>
    <row r="10" spans="1:2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Mudassar</dc:creator>
  <cp:lastModifiedBy>Talha Mudassar</cp:lastModifiedBy>
  <dcterms:created xsi:type="dcterms:W3CDTF">2026-02-21T07:55:50Z</dcterms:created>
  <dcterms:modified xsi:type="dcterms:W3CDTF">2026-02-25T08:00:09Z</dcterms:modified>
</cp:coreProperties>
</file>